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c45cfaee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08c4cd03f4394d67"/>
    <x:sheet xmlns:r="http://schemas.openxmlformats.org/officeDocument/2006/relationships" name="Research Synthesis" sheetId="2" r:id="R50c4804b94fc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172B3A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9"/>
      <x:color rgb="FF1E5A7A"/>
      <x:name val="Arial"/>
    </x:font>
    <x:font>
      <x:sz val="10"/>
      <x:name val="Arial"/>
    </x:font>
    <x:font>
      <x:b/>
      <x:sz val="11"/>
      <x:color rgb="FF244A64"/>
      <x:name val="Arial"/>
    </x:font>
    <x:font>
      <x:b/>
      <x:sz val="10"/>
      <x:color rgb="FF244A64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F8FAFB"/>
      </x:patternFill>
    </x:fill>
    <x:fill>
      <x:patternFill patternType="solid">
        <x:fgColor rgb="FFDCEAF2"/>
      </x:patternFill>
    </x:fill>
    <x:fill>
      <x:patternFill patternType="solid">
        <x:fgColor rgb="FFEEF5F8"/>
      </x:patternFill>
    </x:fill>
  </x:fills>
  <x:borders count="10">
    <x:border/>
    <x:border>
      <x:bottom style="thin">
        <x:color rgb="FF244A64"/>
      </x:bottom>
    </x:border>
    <x:border>
      <x:right style="thin">
        <x:color rgb="FFFFFFFF"/>
      </x:right>
      <x:bottom style="thin">
        <x:color rgb="FF244A64"/>
      </x:bottom>
    </x:border>
    <x:border>
      <x:left style="thin">
        <x:color rgb="FFFFFFFF"/>
      </x:left>
      <x:right style="thin">
        <x:color rgb="FFFFFFFF"/>
      </x:right>
      <x:bottom style="thin">
        <x:color rgb="FF244A64"/>
      </x:bottom>
    </x:border>
    <x:border>
      <x:left style="thin">
        <x:color rgb="FFFFFFFF"/>
      </x:left>
      <x:bottom style="thin">
        <x:color rgb="FF244A64"/>
      </x:bottom>
    </x:border>
    <x:border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AFC7D4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right"/>
    </x:xf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0" fontId="6" fillId="0" borderId="6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3" fillId="2" borderId="7" xfId="0" applyNumberFormat="1" applyFont="1" applyFill="1" applyBorder="1" applyAlignment="1">
      <x:alignment horizontal="center" vertical="top"/>
    </x:xf>
    <x:xf numFmtId="0" fontId="3" fillId="2" borderId="8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horizontal="right"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horizontal="right" vertical="top"/>
    </x:xf>
    <x:xf numFmtId="0" fontId="7" fillId="4" borderId="9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315B2A"/>
      </x:font>
      <x:fill>
        <x:patternFill patternType="solid">
          <x:bgColor rgb="FFE2F0D9"/>
        </x:patternFill>
      </x:fill>
    </x:dxf>
    <x:dxf>
      <x:font>
        <x:b/>
        <x:color rgb="FF244A64"/>
      </x:font>
      <x:fill>
        <x:patternFill patternType="solid">
          <x:bgColor rgb="FFDCEAF2"/>
        </x:patternFill>
      </x:fill>
    </x:dxf>
    <x:dxf>
      <x:font>
        <x:b/>
        <x:color rgb="FF7A5714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c2edb0ab1482e" /><Relationship Type="http://schemas.openxmlformats.org/officeDocument/2006/relationships/theme" Target="/xl/theme/theme1.xml" Id="Rfef30400248741ea" /><Relationship Type="http://schemas.openxmlformats.org/officeDocument/2006/relationships/sharedStrings" Target="/xl/sharedStrings.xml" Id="R5480912fe2da4823" /><Relationship Type="http://schemas.openxmlformats.org/officeDocument/2006/relationships/worksheet" Target="/xl/worksheets/sheet1.xml" Id="R08c4cd03f4394d67" /><Relationship Type="http://schemas.openxmlformats.org/officeDocument/2006/relationships/worksheet" Target="/xl/worksheets/sheet2.xml" Id="R50c4804b94fc4cc0" /></Relationships>
</file>

<file path=xl/tables/table1.xml><?xml version="1.0" encoding="utf-8"?>
<x:table xmlns:x="http://schemas.openxmlformats.org/spreadsheetml/2006/main" id="1" name="LiteratureMatrixTable" displayName="LiteratureMatrixTable" ref="A6:N18" headerRowCount="1" totalsRowCount="0" totalsRowShown="0">
  <x:tableColumns count="14">
    <x:tableColumn id="1" name="ID"/>
    <x:tableColumn id="2" name="Theme"/>
    <x:tableColumn id="3" name="Paper"/>
    <x:tableColumn id="4" name="Publication"/>
    <x:tableColumn id="5" name="Research problem"/>
    <x:tableColumn id="6" name="Dataset and scale"/>
    <x:tableColumn id="7" name="Models or methods"/>
    <x:tableColumn id="8" name="Experimental design"/>
    <x:tableColumn id="9" name="Metrics"/>
    <x:tableColumn id="10" name="Main findings"/>
    <x:tableColumn id="11" name="Limitations"/>
    <x:tableColumn id="12" name="Relevance to this project"/>
    <x:tableColumn id="13" name="Priority"/>
    <x:tableColumn id="14" name="Primary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1d580add5c46f0" /></Relationships>
</file>

<file path=xl/worksheets/sheet1.xml><?xml version="1.0" encoding="utf-8"?>
<x:worksheet xmlns:x="http://schemas.openxmlformats.org/spreadsheetml/2006/main">
  <x:sheetPr>
    <x:tabColor rgb="FF244A6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" hidden="0" customWidth="1"/>
    <x:col min="2" max="2" width="20" hidden="0" customWidth="1"/>
    <x:col min="3" max="3" width="38" hidden="0" customWidth="1"/>
    <x:col min="4" max="4" width="22" hidden="0" customWidth="1"/>
    <x:col min="5" max="5" width="34" hidden="0" customWidth="1"/>
    <x:col min="6" max="6" width="39" hidden="0" customWidth="1"/>
    <x:col min="7" max="7" width="39" hidden="0" customWidth="1"/>
    <x:col min="8" max="8" width="37" hidden="0" customWidth="1"/>
    <x:col min="9" max="9" width="31" hidden="0" customWidth="1"/>
    <x:col min="10" max="10" width="43" hidden="0" customWidth="1"/>
    <x:col min="11" max="11" width="37" hidden="0" customWidth="1"/>
    <x:col min="12" max="12" width="39" hidden="0" customWidth="1"/>
    <x:col min="13" max="13" width="12" hidden="0" customWidth="1"/>
    <x:col min="14" max="14" width="48" hidden="0" customWidth="1"/>
  </x:cols>
  <x:sheetData>
    <x:row r="2">
      <x:c r="A2" s="34" t="str">
        <x:v>Literature review: multimodal event reconstruction from video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6" t="str">
        <x:v>Twelve papers selected to guide the 21-clip grouping, ordering, hierarchy and fairness study. Updated 13 September 2026.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34" customHeight="1">
      <x:c r="A6" s="28" t="str">
        <x:v>ID</x:v>
      </x:c>
      <x:c r="B6" s="29" t="str">
        <x:v>Theme</x:v>
      </x:c>
      <x:c r="C6" s="29" t="str">
        <x:v>Paper</x:v>
      </x:c>
      <x:c r="D6" s="29" t="str">
        <x:v>Publication</x:v>
      </x:c>
      <x:c r="E6" s="29" t="str">
        <x:v>Research problem</x:v>
      </x:c>
      <x:c r="F6" s="29" t="str">
        <x:v>Dataset and scale</x:v>
      </x:c>
      <x:c r="G6" s="29" t="str">
        <x:v>Models or methods</x:v>
      </x:c>
      <x:c r="H6" s="29" t="str">
        <x:v>Experimental design</x:v>
      </x:c>
      <x:c r="I6" s="29" t="str">
        <x:v>Metrics</x:v>
      </x:c>
      <x:c r="J6" s="29" t="str">
        <x:v>Main findings</x:v>
      </x:c>
      <x:c r="K6" s="29" t="str">
        <x:v>Limitations</x:v>
      </x:c>
      <x:c r="L6" s="29" t="str">
        <x:v>Relevance to this project</x:v>
      </x:c>
      <x:c r="M6" s="29" t="str">
        <x:v>Priority</x:v>
      </x:c>
      <x:c r="N6" s="30" t="str">
        <x:v>Primary source</x:v>
      </x:c>
    </x:row>
    <x:row r="7" ht="100" customHeight="1">
      <x:c r="A7" s="25" t="n">
        <x:v>1</x:v>
      </x:c>
      <x:c r="B7" s="23" t="str">
        <x:v>Procedural hierarchy</x:v>
      </x:c>
      <x:c r="C7" s="23" t="str">
        <x:v>COIN: A Large-Scale Dataset for Comprehensive Instructional Video Analysis</x:v>
      </x:c>
      <x:c r="D7" s="25" t="str">
        <x:v>CVPR, June 2019</x:v>
      </x:c>
      <x:c r="E7" s="23" t="str">
        <x:v>Large-scale instructional-video analysis with hierarchical task and step annotations.</x:v>
      </x:c>
      <x:c r="F7" s="23" t="str">
        <x:v>COIN: 11,827 videos; 180 tasks; 12 domains; 476 hours; step descriptions and temporal boundaries.</x:v>
      </x:c>
      <x:c r="G7" s="23" t="str">
        <x:v>R-C3D, SSN and task-consistency variants for localization; action-segmentation baselines including TCFPN-ISBA.</x:v>
      </x:c>
      <x:c r="H7" s="23" t="str">
        <x:v>Supervised step localization and action segmentation; compares standard detectors with task-consistency constraints.</x:v>
      </x:c>
      <x:c r="I7" s="23" t="str">
        <x:v>mAP and mAR at temporal IoU 0.1-0.5; frame accuracy for segmentation.</x:v>
      </x:c>
      <x:c r="J7" s="23" t="str">
        <x:v>Task consistency improved localization. For SSN Fusion at IoU 0.5, mAP rose from 8.12 to 9.05 and mAR from 26.79 to 29.79.</x:v>
      </x:c>
      <x:c r="K7" s="23" t="str">
        <x:v>Fixed task taxonomy; YouTube availability changes; does not test free-form grouping of independent files or fairness.</x:v>
      </x:c>
      <x:c r="L7" s="23" t="str">
        <x:v>Direct source of the 21 pilot clips and their task-step ground truth.</x:v>
      </x:c>
      <x:c r="M7" s="25" t="str">
        <x:v>Essential</x:v>
      </x:c>
      <x:c r="N7" s="31" t="str">
        <x:v>https://openaccess.thecvf.com/content_CVPR_2019/html/Tang_COIN_A_Large-Scale_Dataset_for_Comprehensive_Instructional_Video_Analysis_CVPR_2019_paper.html</x:v>
      </x:c>
    </x:row>
    <x:row r="8" ht="100" customHeight="1">
      <x:c r="A8" s="26" t="n">
        <x:v>2</x:v>
      </x:c>
      <x:c r="B8" s="22" t="str">
        <x:v>Procedural hierarchy</x:v>
      </x:c>
      <x:c r="C8" s="22" t="str">
        <x:v>Cross-Task Weakly Supervised Learning From Instructional Videos</x:v>
      </x:c>
      <x:c r="D8" s="26" t="str">
        <x:v>CVPR, June 2019</x:v>
      </x:c>
      <x:c r="E8" s="22" t="str">
        <x:v>Learning task steps with weak supervision from narration and ordered step lists while sharing knowledge across tasks.</x:v>
      </x:c>
      <x:c r="F8" s="22" t="str">
        <x:v>CrossTask: about 4,700 videos; 83 tasks; 374 hours; 18 primary and 65 related tasks.</x:v>
      </x:c>
      <x:c r="G8" s="22" t="str">
        <x:v>Component-sharing model; task-specific step model; DIFFRAC baseline; RGB I3D, ResNet-152 and audio VGG features.</x:v>
      </x:c>
      <x:c r="H8" s="22" t="str">
        <x:v>Tests task-specific learning, cross-task sharing and parsing of previously unseen tasks.</x:v>
      </x:c>
      <x:c r="I8" s="22" t="str">
        <x:v>Step recall for the 18 primary tasks; F1 on a smaller five-task comparison.</x:v>
      </x:c>
      <x:c r="J8" s="22" t="str">
        <x:v>The full component-sharing model reached 22.4% average recall versus 18.6% for the task-specific model and improved 17 of 18 tasks.</x:v>
      </x:c>
      <x:c r="K8" s="22" t="str">
        <x:v>Assumes an ordered step list and instructional narration; annotations focus on primary tasks; not a shuffled multi-event test.</x:v>
      </x:c>
      <x:c r="L8" s="22" t="str">
        <x:v>Supports using shared action components and narration to connect related clips and transfer to new events.</x:v>
      </x:c>
      <x:c r="M8" s="26" t="str">
        <x:v>High</x:v>
      </x:c>
      <x:c r="N8" s="32" t="str">
        <x:v>https://openaccess.thecvf.com/content_CVPR_2019/html/Zhukov_Cross-Task_Weakly_Supervised_Learning_From_Instructional_Videos_CVPR_2019_paper.html</x:v>
      </x:c>
    </x:row>
    <x:row r="9" ht="100" customHeight="1">
      <x:c r="A9" s="27" t="n">
        <x:v>3</x:v>
      </x:c>
      <x:c r="B9" s="24" t="str">
        <x:v>Procedural hierarchy</x:v>
      </x:c>
      <x:c r="C9" s="24" t="str">
        <x:v>Ego4D Goal-Step: Toward Hierarchical Understanding of Procedural Activities</x:v>
      </x:c>
      <x:c r="D9" s="27" t="str">
        <x:v>NeurIPS 2023</x:v>
      </x:c>
      <x:c r="E9" s="24" t="str">
        <x:v>Recognizing goals, steps and substeps and their long-term hierarchical and temporal relationships.</x:v>
      </x:c>
      <x:c r="F9" s="24" t="str">
        <x:v>Ego4D Goal-Step: 48,000 step segments covering 430 hours; goal annotations for 2,807 hours.</x:v>
      </x:c>
      <x:c r="G9" s="24" t="str">
        <x:v>ActionFormer, EgoOnly, LSTR and VSLNet using Omnivore or egocentric video features.</x:v>
      </x:c>
      <x:c r="H9" s="24" t="str">
        <x:v>Goal/step localization, online detection, open-vocabulary grounding and hierarchy ablations.</x:v>
      </x:c>
      <x:c r="I9" s="24" t="str">
        <x:v>Detection mAP over tIoU 0.1-0.5; per-frame mAP; Recall@1 at IoU 0.3.</x:v>
      </x:c>
      <x:c r="J9" s="24" t="str">
        <x:v>Step localization remained difficult: best test mAP was 14.0. Joint step-substep training improved grounding, but goal-step integration remained unresolved.</x:v>
      </x:c>
      <x:c r="K9" s="24" t="str">
        <x:v>Egocentric single-stream video; substantial training requirements; does not cluster separate unordered media files.</x:v>
      </x:c>
      <x:c r="L9" s="24" t="str">
        <x:v>Best precedent for a goal-event-step-substep hierarchy and for reporting each hierarchy level separately.</x:v>
      </x:c>
      <x:c r="M9" s="27" t="str">
        <x:v>Essential</x:v>
      </x:c>
      <x:c r="N9" s="33" t="str">
        <x:v>https://proceedings.neurips.cc/paper_files/paper/2023/hash/7a65606fa1a6849450550325832036e5-Abstract-Datasets_and_Benchmarks.html</x:v>
      </x:c>
    </x:row>
    <x:row r="10" ht="100" customHeight="1">
      <x:c r="A10" s="26" t="n">
        <x:v>4</x:v>
      </x:c>
      <x:c r="B10" s="22" t="str">
        <x:v>Procedural hierarchy</x:v>
      </x:c>
      <x:c r="C10" s="22" t="str">
        <x:v>HT-Step: Aligning Instructional Articles with How-To Videos</x:v>
      </x:c>
      <x:c r="D10" s="26" t="str">
        <x:v>NeurIPS 2023</x:v>
      </x:c>
      <x:c r="E10" s="22" t="str">
        <x:v>Grounding article steps in narrated how-to videos, including steps and tasks unseen during training.</x:v>
      </x:c>
      <x:c r="F10" s="22" t="str">
        <x:v>HT-Step: 122,000 segment annotations; 20,000 narrated cooking videos; about 2,300 hours; 4,958 unique steps.</x:v>
      </x:c>
      <x:c r="G10" s="22" t="str">
        <x:v>ActionFormer, ActionFormer-T, UMT, VINA and MT+BCE with S3D/TimeSformer video and Word2Vec/CLIP/MPNet text features.</x:v>
      </x:c>
      <x:c r="H10" s="22" t="str">
        <x:v>Strongly supervised article grounding with seen and unseen splits; tests weak ASR pretraining followed by supervised fine-tuning.</x:v>
      </x:c>
      <x:c r="I10" s="22" t="str">
        <x:v>Article-grounding mAP at temporal IoU 0.3, 0.5 and 0.7 and averaged across thresholds.</x:v>
      </x:c>
      <x:c r="J10" s="22" t="str">
        <x:v>ASR pretraining plus HT-Step labels produced the best average results: 30.2 mAP on seen tasks and 20.4 on unseen tasks.</x:v>
      </x:c>
      <x:c r="K10" s="22" t="str">
        <x:v>Cooking-focused; depends on instructional articles and a step taxonomy; 73% of labels are partial matches.</x:v>
      </x:c>
      <x:c r="L10" s="22" t="str">
        <x:v>Shows how transcripts, textual step descriptions and precise temporal labels can complement each other.</x:v>
      </x:c>
      <x:c r="M10" s="26" t="str">
        <x:v>High</x:v>
      </x:c>
      <x:c r="N10" s="32" t="str">
        <x:v>https://proceedings.neurips.cc/paper_files/paper/2023/hash/9d58d85bfc041b4f901c62ba37a3f322-Abstract-Datasets_and_Benchmarks.html</x:v>
      </x:c>
    </x:row>
    <x:row r="11" ht="100" customHeight="1">
      <x:c r="A11" s="27" t="n">
        <x:v>5</x:v>
      </x:c>
      <x:c r="B11" s="24" t="str">
        <x:v>Procedural hierarchy</x:v>
      </x:c>
      <x:c r="C11" s="24" t="str">
        <x:v>Video-Mined Task Graphs for Keystep Recognition in Instructional Videos</x:v>
      </x:c>
      <x:c r="D11" s="27" t="str">
        <x:v>NeurIPS 2023</x:v>
      </x:c>
      <x:c r="E11" s="24" t="str">
        <x:v>Learning probabilistic relations between steps directly from video and using them to correct keystep predictions.</x:v>
      </x:c>
      <x:c r="F11" s="24" t="str">
        <x:v>COIN and CrossTask for recognition; HowTo100M for representation learning.</x:v>
      </x:c>
      <x:c r="G11" s="24" t="str">
        <x:v>Video-mined task graph; VideoCLIP, DistantSupervision, linear-step, autoregressive, Drop-DTW and Graph2Vid baselines.</x:v>
      </x:c>
      <x:c r="H11" s="24" t="str">
        <x:v>Zero-shot keystep recognition with text, video and video-text inputs; downstream step, task and forecasting evaluations.</x:v>
      </x:c>
      <x:c r="I11" s="24" t="str">
        <x:v>Frame-wise accuracy and IoU for segmentation; accuracy for classification and forecasting.</x:v>
      </x:c>
      <x:c r="J11" s="24" t="str">
        <x:v>The graph improved all modality variants, with gains up to 6.5 percentage points, and improved downstream representations.</x:v>
      </x:c>
      <x:c r="K11" s="24" t="str">
        <x:v>Operates within a keystep vocabulary and instructional-video distributions; does not generate arbitrary event clusters.</x:v>
      </x:c>
      <x:c r="L11" s="24" t="str">
        <x:v>Most direct evidence that a learned graph can repair locally plausible but globally inconsistent step assignments.</x:v>
      </x:c>
      <x:c r="M11" s="27" t="str">
        <x:v>Essential</x:v>
      </x:c>
      <x:c r="N11" s="33" t="str">
        <x:v>https://proceedings.neurips.cc/paper_files/paper/2023/hash/d62e65cfdba247e0cd7cac5964f9fbd9-Abstract-Conference.html</x:v>
      </x:c>
    </x:row>
    <x:row r="12" ht="100" customHeight="1">
      <x:c r="A12" s="26" t="n">
        <x:v>6</x:v>
      </x:c>
      <x:c r="B12" s="22" t="str">
        <x:v>Temporal reasoning</x:v>
      </x:c>
      <x:c r="C12" s="22" t="str">
        <x:v>Perception Test: A Diagnostic Benchmark for Multimodal Video Models</x:v>
      </x:c>
      <x:c r="D12" s="26" t="str">
        <x:v>NeurIPS 2023</x:v>
      </x:c>
      <x:c r="E12" s="22" t="str">
        <x:v>Broad diagnostic testing of multimodal perception under controlled real-world video scenarios.</x:v>
      </x:c>
      <x:c r="F12" s="22" t="str">
        <x:v>11,600 videos; 23-second average; about 100 participants; object/point tracks, action/sound segments and video QA.</x:v>
      </x:c>
      <x:c r="G12" s="22" t="str">
        <x:v>Tracking and detection baselines plus ActionFormer, Flamingo and SeViLA for temporal and video-QA tasks.</x:v>
      </x:c>
      <x:c r="H12" s="22" t="str">
        <x:v>Zero-shot, few-shot and limited-fine-tuning transfer tests across six annotation types.</x:v>
      </x:c>
      <x:c r="I12" s="22" t="str">
        <x:v>Task-specific IoU/Jaccard, mAP, HOTA and video-QA accuracy; combined diagnostic score.</x:v>
      </x:c>
      <x:c r="J12" s="22" t="str">
        <x:v>Human video-QA performance was 91.4% versus 45.8% for the evaluated model baseline.</x:v>
      </x:c>
      <x:c r="K12" s="22" t="str">
        <x:v>Mostly short, staged diagnostic scenes; separate tasks rather than end-to-end reconstruction.</x:v>
      </x:c>
      <x:c r="L12" s="22" t="str">
        <x:v>Supports controlled tests, human baselines and failure analysis instead of relying only on natural videos.</x:v>
      </x:c>
      <x:c r="M12" s="26" t="str">
        <x:v>High</x:v>
      </x:c>
      <x:c r="N12" s="32" t="str">
        <x:v>https://proceedings.neurips.cc/paper_files/paper/2023/hash/8540fba4abdc7f9f7a7b1cc6cd60e409-Abstract-Datasets_and_Benchmarks.html</x:v>
      </x:c>
    </x:row>
    <x:row r="13" ht="100" customHeight="1">
      <x:c r="A13" s="27" t="n">
        <x:v>7</x:v>
      </x:c>
      <x:c r="B13" s="24" t="str">
        <x:v>Temporal reasoning</x:v>
      </x:c>
      <x:c r="C13" s="24" t="str">
        <x:v>TempCompass: Do Video LLMs Really Understand Videos?</x:v>
      </x:c>
      <x:c r="D13" s="27" t="str">
        <x:v>arXiv, 1 March 2024</x:v>
      </x:c>
      <x:c r="E13" s="24" t="str">
        <x:v>Measuring whether video LLMs understand temporal changes rather than exploiting single frames or language priors.</x:v>
      </x:c>
      <x:c r="F13" s="24" t="str">
        <x:v>7,540 instructions across action, speed, direction, attribute change and event-order aspects using conflicting clips.</x:v>
      </x:c>
      <x:c r="G13" s="24" t="str">
        <x:v>Eight video LLMs, including Video-LLaVA, LLaMA-VID and VideoChat2; three image LLMs; GPT-3.5-based answer evaluator.</x:v>
      </x:c>
      <x:c r="H13" s="24" t="str">
        <x:v>Multiple choice, yes/no, caption matching and caption generation on controlled conflicting video pairs or triplets.</x:v>
      </x:c>
      <x:c r="I13" s="24" t="str">
        <x:v>Accuracy and answer-match rate by temporal aspect and task format.</x:v>
      </x:c>
      <x:c r="J13" s="24" t="str">
        <x:v>Evaluated video LLMs showed weak temporal perception, and several failed to consistently exceed random baselines across formats.</x:v>
      </x:c>
      <x:c r="K13" s="24" t="str">
        <x:v>Short stock clips and benchmark-specific questions; model set reflects 2024 availability; no event hierarchy.</x:v>
      </x:c>
      <x:c r="L13" s="24" t="str">
        <x:v>Directly motivates testing event order with clips that share static content but differ temporally.</x:v>
      </x:c>
      <x:c r="M13" s="27" t="str">
        <x:v>Essential</x:v>
      </x:c>
      <x:c r="N13" s="33" t="str">
        <x:v>https://arxiv.org/abs/2403.00476</x:v>
      </x:c>
    </x:row>
    <x:row r="14" ht="100" customHeight="1">
      <x:c r="A14" s="26" t="n">
        <x:v>8</x:v>
      </x:c>
      <x:c r="B14" s="22" t="str">
        <x:v>Temporal reasoning</x:v>
      </x:c>
      <x:c r="C14" s="22" t="str">
        <x:v>TimeChat: A Time-sensitive Multimodal Large Language Model for Long Video Understanding</x:v>
      </x:c>
      <x:c r="D14" s="26" t="str">
        <x:v>CVPR, June 2024</x:v>
      </x:c>
      <x:c r="E14" s="22" t="str">
        <x:v>Timestamp-aware localization and reasoning over videos of different durations.</x:v>
      </x:c>
      <x:c r="F14" s="22" t="str">
        <x:v>TimeIT: 125,000 instruction-tuning instances across six temporal tasks; evaluated on YouCook2, QVHighlights and Charades-STA.</x:v>
      </x:c>
      <x:c r="G14" s="22" t="str">
        <x:v>TimeChat with timestamp-aware frame encoder, sliding video Q-Former and LLM; compared with prior video LLMs.</x:v>
      </x:c>
      <x:c r="H14" s="22" t="str">
        <x:v>Zero-shot dense captioning, temporal grounding and highlight detection; optional transcript input.</x:v>
      </x:c>
      <x:c r="I14" s="22" t="str">
        <x:v>F1 and CIDEr; HIT@1 and mAP; Recall@1 at temporal IoU thresholds.</x:v>
      </x:c>
      <x:c r="J14" s="22" t="str">
        <x:v>Reported gains include +9.2 F1 and +2.8 CIDEr on YouCook2, +5.8 HIT@1 on QVHighlights and +27.5 R@1 at IoU 0.5 on Charades-STA.</x:v>
      </x:c>
      <x:c r="K14" s="22" t="str">
        <x:v>Focuses on moments within one video, not grouping separate files; practical access may require local model deployment.</x:v>
      </x:c>
      <x:c r="L14" s="22" t="str">
        <x:v>Supports timestamped evidence and a transcript ablation for long or ambiguous event clips.</x:v>
      </x:c>
      <x:c r="M14" s="26" t="str">
        <x:v>High</x:v>
      </x:c>
      <x:c r="N14" s="32" t="str">
        <x:v>https://openaccess.thecvf.com/content/CVPR2024/html/Ren_TimeChat_A_Time-sensitive_Multimodal_Large_Language_Model_for_Long_Video_CVPR_2024_paper.html</x:v>
      </x:c>
    </x:row>
    <x:row r="15" ht="100" customHeight="1">
      <x:c r="A15" s="27" t="n">
        <x:v>9</x:v>
      </x:c>
      <x:c r="B15" s="24" t="str">
        <x:v>Temporal reasoning</x:v>
      </x:c>
      <x:c r="C15" s="24" t="str">
        <x:v>VTimeLLM: Empower LLM to Grasp Video Moments</x:v>
      </x:c>
      <x:c r="D15" s="27" t="str">
        <x:v>CVPR, June 2024</x:v>
      </x:c>
      <x:c r="E15" s="24" t="str">
        <x:v>Teaching a video LLM to identify fine-grained temporal boundaries and describe multiple events.</x:v>
      </x:c>
      <x:c r="F15" s="24" t="str">
        <x:v>Training combines image-text alignment, boundary-aware multi-event videos and instruction data; evaluation uses ActivityNet Captions and Charades-STA.</x:v>
      </x:c>
      <x:c r="G15" s="24" t="str">
        <x:v>VTimeLLM-7B and VTimeLLM-13B built on Vicuna 1.5 with three-stage training and LoRA.</x:v>
      </x:c>
      <x:c r="H15" s="24" t="str">
        <x:v>Temporal video grounding and dense video captioning against video-LLM baselines.</x:v>
      </x:c>
      <x:c r="I15" s="24" t="str">
        <x:v>mIoU; Recall@1 at IoU 0.3, 0.5 and 0.7; SODA_c, CIDEr and METEOR.</x:v>
      </x:c>
      <x:c r="J15" s="24" t="str">
        <x:v>VTimeLLM-7B substantially outperformed similarly sized video LLMs on temporal grounding and dense captioning; scaling to 13B gave smaller additional gains.</x:v>
      </x:c>
      <x:c r="K15" s="24" t="str">
        <x:v>Designed for moments inside one video; results depend on specialized staged training and generated instruction data.</x:v>
      </x:c>
      <x:c r="L15" s="24" t="str">
        <x:v>Provides metrics for temporal boundaries and event captions, useful when the pilot expands beyond three fixed clips.</x:v>
      </x:c>
      <x:c r="M15" s="27" t="str">
        <x:v>Medium</x:v>
      </x:c>
      <x:c r="N15" s="33" t="str">
        <x:v>https://openaccess.thecvf.com/content/CVPR2024/html/Huang_VTimeLLM_Empower_LLM_to_Grasp_Video_Moments_CVPR_2024_paper.html</x:v>
      </x:c>
    </x:row>
    <x:row r="16" ht="100" customHeight="1">
      <x:c r="A16" s="26" t="n">
        <x:v>10</x:v>
      </x:c>
      <x:c r="B16" s="22" t="str">
        <x:v>Temporal reasoning</x:v>
      </x:c>
      <x:c r="C16" s="22" t="str">
        <x:v>Video-MME: The First-Ever Comprehensive Evaluation Benchmark of Multi-modal LLMs in Video Analysis</x:v>
      </x:c>
      <x:c r="D16" s="26" t="str">
        <x:v>CVPR, June 2025</x:v>
      </x:c>
      <x:c r="E16" s="22" t="str">
        <x:v>Comprehensive evaluation of multimodal LLMs across video duration, domain and input modality.</x:v>
      </x:c>
      <x:c r="F16" s="22" t="str">
        <x:v>Video-MME: videos from 11 seconds to one hour; six domains and 30 subfields; video, subtitle and audio conditions.</x:v>
      </x:c>
      <x:c r="G16" s="22" t="str">
        <x:v>Commercial and open models including Gemini 1.5 Pro/Flash, GPT-4o, GPT-4V, VITA, VILA and LLaVA-NeXT-Video.</x:v>
      </x:c>
      <x:c r="H16" s="22" t="str">
        <x:v>Multiple-choice evaluation by duration and domain, with and without subtitle/audio inputs.</x:v>
      </x:c>
      <x:c r="I16" s="22" t="str">
        <x:v>Average answer accuracy overall and by duration, domain and modality condition.</x:v>
      </x:c>
      <x:c r="J16" s="22" t="str">
        <x:v>Gemini 1.5 Pro scored 75.0% and GPT-4o 71.9%. Subtitles/audio helped, while performance declined as duration increased.</x:v>
      </x:c>
      <x:c r="K16" s="22" t="str">
        <x:v>Multiple-choice QA does not evaluate clustering, ordering or generated hierarchy; model rankings age quickly.</x:v>
      </x:c>
      <x:c r="L16" s="22" t="str">
        <x:v>Provides the strongest template for model comparison, duration analysis and multimodal ablations.</x:v>
      </x:c>
      <x:c r="M16" s="26" t="str">
        <x:v>Essential</x:v>
      </x:c>
      <x:c r="N16" s="32" t="str">
        <x:v>https://openaccess.thecvf.com/content/CVPR2025/html/Fu_Video-MME_The_First-Ever_Comprehensive_Evaluation_Benchmark_of_Multi-modal_LLMs_in_CVPR_2025_paper.html</x:v>
      </x:c>
    </x:row>
    <x:row r="17" ht="100" customHeight="1">
      <x:c r="A17" s="27" t="n">
        <x:v>11</x:v>
      </x:c>
      <x:c r="B17" s="24" t="str">
        <x:v>Fairness evaluation</x:v>
      </x:c>
      <x:c r="C17" s="24" t="str">
        <x:v>Casual Conversations: A Dataset for Measuring Fairness in AI</x:v>
      </x:c>
      <x:c r="D17" s="27" t="str">
        <x:v>CVPR Workshops, June 2021</x:v>
      </x:c>
      <x:c r="E17" s="24" t="str">
        <x:v>Measuring model robustness across age, gender, apparent skin tone and lighting in consented videos.</x:v>
      </x:c>
      <x:c r="F17" s="24" t="str">
        <x:v>More than 45,000 videos from 3,011 participants across multiple U.S. states; about 15 videos per person.</x:v>
      </x:c>
      <x:c r="G17" s="24" t="str">
        <x:v>State-of-the-art apparent age and gender classification systems.</x:v>
      </x:c>
      <x:c r="H17" s="24" t="str">
        <x:v>Reports classification behavior across self-reported age/gender, annotated apparent skin tone and low-light conditions.</x:v>
      </x:c>
      <x:c r="I17" s="24" t="str">
        <x:v>Classification accuracy and error patterns disaggregated by demographic and lighting groups.</x:v>
      </x:c>
      <x:c r="J17" s="24" t="str">
        <x:v>The evaluations reveal that aggregate performance can conceal substantial variation across participant groups and conditions.</x:v>
      </x:c>
      <x:c r="K17" s="24" t="str">
        <x:v>Speaking-face videos and U.S.-focused collection; fairness attributes are limited; no event or temporal reconstruction task.</x:v>
      </x:c>
      <x:c r="L17" s="24" t="str">
        <x:v>Provides a consent-aware protocol for subgroup reporting in a later smartphone-video fairness dataset.</x:v>
      </x:c>
      <x:c r="M17" s="27" t="str">
        <x:v>High</x:v>
      </x:c>
      <x:c r="N17" s="33" t="str">
        <x:v>https://openaccess.thecvf.com/content/CVPR2021W/RCV/html/Hazirbas_Casual_Conversations_A_Dataset_for_Measuring_Fairness_in_AI_CVPRW_2021_paper.html</x:v>
      </x:c>
    </x:row>
    <x:row r="18" ht="100" customHeight="1">
      <x:c r="A18" s="26" t="n">
        <x:v>12</x:v>
      </x:c>
      <x:c r="B18" s="22" t="str">
        <x:v>Fairness evaluation</x:v>
      </x:c>
      <x:c r="C18" s="22" t="str">
        <x:v>FACET: Fairness in Computer Vision Evaluation Benchmark</x:v>
      </x:c>
      <x:c r="D18" s="26" t="str">
        <x:v>ICCV 2023; released 31 August 2023</x:v>
      </x:c>
      <x:c r="E18" s="22" t="str">
        <x:v>Standardized intersectional fairness evaluation for common person-related computer-vision tasks.</x:v>
      </x:c>
      <x:c r="F18" s="22" t="str">
        <x:v>FACET: 32,000 images; 50,000 people; 52 person classes; expert labels for demographic and other attributes.</x:v>
      </x:c>
      <x:c r="G18" s="22" t="str">
        <x:v>State-of-the-art classification, object detection, instance segmentation and visual-grounding models.</x:v>
      </x:c>
      <x:c r="H18" s="22" t="str">
        <x:v>Compares task performance across single demographic attributes and intersections of multiple attributes.</x:v>
      </x:c>
      <x:c r="I18" s="22" t="str">
        <x:v>Task metrics such as classification accuracy, detection/segmentation performance and subgroup performance gaps.</x:v>
      </x:c>
      <x:c r="J18" s="22" t="str">
        <x:v>Models across all four task families exhibit performance disparities across demographic attributes and their intersections.</x:v>
      </x:c>
      <x:c r="K18" s="22" t="str">
        <x:v>Still images, perceived attributes and evaluation-only licensing; no temporal or multimodal event reasoning.</x:v>
      </x:c>
      <x:c r="L18" s="22" t="str">
        <x:v>Provides the clearest reporting pattern for intersectional performance gaps and sample-size disclosure.</x:v>
      </x:c>
      <x:c r="M18" s="26" t="str">
        <x:v>High</x:v>
      </x:c>
      <x:c r="N18" s="32" t="str">
        <x:v>https://ai.meta.com/research/publications/facet-fairness-in-computer-vision-evaluation-benchmark/</x:v>
      </x:c>
    </x:row>
  </x:sheetData>
  <x:mergeCells>
    <x:mergeCell ref="A2:N2"/>
    <x:mergeCell ref="A3:N3"/>
  </x:mergeCells>
  <x:conditionalFormatting sqref="M7:M18">
    <x:cfRule type="containsText" dxfId="0" priority="1" operator="containsText" text="Essential"/>
    <x:cfRule type="containsText" dxfId="1" priority="2" operator="containsText" text="High"/>
    <x:cfRule type="containsText" dxfId="2" priority="3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2b1d580add5c46f0"/>
  </x:tableParts>
</x:worksheet>
</file>

<file path=xl/worksheets/sheet2.xml><?xml version="1.0" encoding="utf-8"?>
<x:worksheet xmlns:x="http://schemas.openxmlformats.org/spreadsheetml/2006/main">
  <x:sheetPr>
    <x:tabColor rgb="FF4F7A8B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</x:row>
    <x:row r="2">
      <x:c r="A2" s="34" t="str">
        <x:v>Research synthesis and pilot implications</x:v>
      </x:c>
      <x:c r="B2" s="59"/>
      <x:c r="C2" s="59"/>
      <x:c r="D2" s="59"/>
      <x:c r="E2" s="59"/>
      <x:c r="F2" s="59"/>
      <x:c r="G2" s="59"/>
      <x:c r="H2" s="59"/>
    </x:row>
    <x:row r="3">
      <x:c r="A3" s="36" t="str">
        <x:v>The literature supports a component-based evaluation of grouping, temporal order, hierarchy and later fairness analysis.</x:v>
      </x:c>
      <x:c r="B3" s="59"/>
      <x:c r="C3" s="59"/>
      <x:c r="D3" s="59"/>
      <x:c r="E3" s="59"/>
      <x:c r="F3" s="59"/>
      <x:c r="G3" s="59"/>
      <x:c r="H3" s="59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>
      <x:c r="A5" s="59"/>
      <x:c r="B5" s="59"/>
      <x:c r="C5" s="59"/>
      <x:c r="D5" s="59"/>
      <x:c r="E5" s="59"/>
      <x:c r="F5" s="59"/>
      <x:c r="G5" s="59"/>
      <x:c r="H5" s="59"/>
    </x:row>
    <x:row r="6">
      <x:c r="A6" s="61" t="str">
        <x:v>Review coverage</x:v>
      </x:c>
      <x:c r="B6" s="62" t="str">
        <x:v>Count</x:v>
      </x:c>
      <x:c r="C6" s="59"/>
      <x:c r="D6" s="61" t="str">
        <x:v>Reading priority</x:v>
      </x:c>
      <x:c r="E6" s="62" t="str">
        <x:v>Count</x:v>
      </x:c>
      <x:c r="F6" s="59"/>
      <x:c r="G6" s="59"/>
      <x:c r="H6" s="59"/>
    </x:row>
    <x:row r="7">
      <x:c r="A7" s="63" t="str">
        <x:v>Papers reviewed</x:v>
      </x:c>
      <x:c r="B7" s="64" t="n">
        <x:f>COUNTA('Literature Matrix'!C7:C18)</x:f>
        <x:v>12</x:v>
      </x:c>
      <x:c r="C7" s="59"/>
      <x:c r="D7" s="63" t="str">
        <x:v>Essential</x:v>
      </x:c>
      <x:c r="E7" s="64" t="n">
        <x:f>COUNTIFS('Literature Matrix'!M7:M18,D7)</x:f>
        <x:v>5</x:v>
      </x:c>
      <x:c r="F7" s="59"/>
      <x:c r="G7" s="59"/>
      <x:c r="H7" s="59"/>
    </x:row>
    <x:row r="8">
      <x:c r="A8" s="65" t="str">
        <x:v>Procedural hierarchy</x:v>
      </x:c>
      <x:c r="B8" s="66" t="n">
        <x:f>COUNTIFS('Literature Matrix'!B7:B18,A8)</x:f>
        <x:v>5</x:v>
      </x:c>
      <x:c r="C8" s="59"/>
      <x:c r="D8" s="65" t="str">
        <x:v>High</x:v>
      </x:c>
      <x:c r="E8" s="66" t="n">
        <x:f>COUNTIFS('Literature Matrix'!M8:M19,D8)</x:f>
        <x:v>6</x:v>
      </x:c>
      <x:c r="F8" s="59"/>
      <x:c r="G8" s="59"/>
      <x:c r="H8" s="59"/>
    </x:row>
    <x:row r="9">
      <x:c r="A9" s="65" t="str">
        <x:v>Temporal reasoning</x:v>
      </x:c>
      <x:c r="B9" s="66" t="n">
        <x:f>COUNTIFS('Literature Matrix'!B8:B19,A9)</x:f>
        <x:v>5</x:v>
      </x:c>
      <x:c r="C9" s="59"/>
      <x:c r="D9" s="65" t="str">
        <x:v>Medium</x:v>
      </x:c>
      <x:c r="E9" s="66" t="n">
        <x:f>COUNTIFS('Literature Matrix'!M9:M20,D9)</x:f>
        <x:v>1</x:v>
      </x:c>
      <x:c r="F9" s="59"/>
      <x:c r="G9" s="59"/>
      <x:c r="H9" s="59"/>
    </x:row>
    <x:row r="10">
      <x:c r="A10" s="65" t="str">
        <x:v>Fairness evaluation</x:v>
      </x:c>
      <x:c r="B10" s="66" t="n">
        <x:f>COUNTIFS('Literature Matrix'!B9:B20,A10)</x:f>
        <x:v>2</x:v>
      </x:c>
      <x:c r="C10" s="59"/>
      <x:c r="D10" s="59"/>
      <x:c r="E10" s="59"/>
      <x:c r="F10" s="59"/>
      <x:c r="G10" s="59"/>
      <x:c r="H10" s="59"/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67" t="str">
        <x:v>Key evidence</x:v>
      </x:c>
      <x:c r="B12" s="59"/>
      <x:c r="C12" s="59"/>
      <x:c r="D12" s="59"/>
      <x:c r="E12" s="59"/>
      <x:c r="F12" s="59"/>
      <x:c r="G12" s="59"/>
      <x:c r="H12" s="59"/>
    </x:row>
    <x:row r="13" ht="28" customHeight="1">
      <x:c r="A13" s="20" t="str">
        <x:v>Temporal structure helps correct local mistakes; current video LLMs still struggle with controlled temporal reasoning; audio and transcripts can improve results; duration increases difficulty.</x:v>
      </x:c>
      <x:c r="B13" s="59"/>
      <x:c r="C13" s="59"/>
      <x:c r="D13" s="59"/>
      <x:c r="E13" s="59"/>
      <x:c r="F13" s="59"/>
      <x:c r="G13" s="59"/>
      <x:c r="H13" s="59"/>
    </x:row>
    <x:row r="14" ht="28" customHeight="1">
      <x:c r="A14" s="59"/>
      <x:c r="B14" s="59"/>
      <x:c r="C14" s="59"/>
      <x:c r="D14" s="59"/>
      <x:c r="E14" s="59"/>
      <x:c r="F14" s="59"/>
      <x:c r="G14" s="59"/>
      <x:c r="H14" s="59"/>
    </x:row>
    <x:row r="15">
      <x:c r="A15" s="59"/>
      <x:c r="B15" s="59"/>
      <x:c r="C15" s="59"/>
      <x:c r="D15" s="59"/>
      <x:c r="E15" s="59"/>
      <x:c r="F15" s="59"/>
      <x:c r="G15" s="59"/>
      <x:c r="H15" s="59"/>
    </x:row>
    <x:row r="16">
      <x:c r="A16" s="67" t="str">
        <x:v>Research gap</x:v>
      </x:c>
      <x:c r="B16" s="59"/>
      <x:c r="C16" s="59"/>
      <x:c r="D16" s="59"/>
      <x:c r="E16" s="59"/>
      <x:c r="F16" s="59"/>
      <x:c r="G16" s="59"/>
      <x:c r="H16" s="59"/>
    </x:row>
    <x:row r="17" ht="28" customHeight="1">
      <x:c r="A17" s="20" t="str">
        <x:v>Inference from this targeted review: no reviewed paper jointly tests blind clustering of independent clips, within-cluster ordering, generated hierarchy and fairness breakdown in one general-purpose multimodal model evaluation.</x:v>
      </x:c>
      <x:c r="B17" s="59"/>
      <x:c r="C17" s="59"/>
      <x:c r="D17" s="59"/>
      <x:c r="E17" s="59"/>
      <x:c r="F17" s="59"/>
      <x:c r="G17" s="59"/>
      <x:c r="H17" s="59"/>
    </x:row>
    <x:row r="18" ht="28" customHeight="1">
      <x:c r="A18" s="59"/>
      <x:c r="B18" s="59"/>
      <x:c r="C18" s="59"/>
      <x:c r="D18" s="59"/>
      <x:c r="E18" s="59"/>
      <x:c r="F18" s="59"/>
      <x:c r="G18" s="59"/>
      <x:c r="H18" s="59"/>
    </x:row>
    <x:row r="19">
      <x:c r="A19" s="59"/>
      <x:c r="B19" s="59"/>
      <x:c r="C19" s="59"/>
      <x:c r="D19" s="59"/>
      <x:c r="E19" s="59"/>
      <x:c r="F19" s="59"/>
      <x:c r="G19" s="59"/>
      <x:c r="H19" s="59"/>
    </x:row>
    <x:row r="20">
      <x:c r="A20" s="67" t="str">
        <x:v>Immediate experiment</x:v>
      </x:c>
      <x:c r="B20" s="59"/>
      <x:c r="C20" s="59"/>
      <x:c r="D20" s="59"/>
      <x:c r="E20" s="59"/>
      <x:c r="F20" s="59"/>
      <x:c r="G20" s="59"/>
      <x:c r="H20" s="59"/>
    </x:row>
    <x:row r="21" ht="28" customHeight="1">
      <x:c r="A21" s="20" t="str">
        <x:v>Use the existing 21 blind clips. Run each accessible model with a fixed JSON schema, at least three prompt variants, and separate video-only and video-plus-transcript conditions when supported.</x:v>
      </x:c>
      <x:c r="B21" s="59"/>
      <x:c r="C21" s="59"/>
      <x:c r="D21" s="59"/>
      <x:c r="E21" s="59"/>
      <x:c r="F21" s="59"/>
      <x:c r="G21" s="59"/>
      <x:c r="H21" s="59"/>
    </x:row>
    <x:row r="22" ht="28" customHeight="1">
      <x:c r="A22" s="59"/>
      <x:c r="B22" s="59"/>
      <x:c r="C22" s="59"/>
      <x:c r="D22" s="59"/>
      <x:c r="E22" s="59"/>
      <x:c r="F22" s="59"/>
      <x:c r="G22" s="59"/>
      <x:c r="H22" s="59"/>
    </x:row>
    <x:row r="23">
      <x:c r="A23" s="59"/>
      <x:c r="B23" s="59"/>
      <x:c r="C23" s="59"/>
      <x:c r="D23" s="59"/>
      <x:c r="E23" s="59"/>
      <x:c r="F23" s="59"/>
      <x:c r="G23" s="59"/>
      <x:c r="H23" s="59"/>
    </x:row>
    <x:row r="24">
      <x:c r="A24" s="67" t="str">
        <x:v>Recommended metrics</x:v>
      </x:c>
      <x:c r="B24" s="59"/>
      <x:c r="C24" s="59"/>
      <x:c r="D24" s="59"/>
      <x:c r="E24" s="59"/>
      <x:c r="F24" s="59"/>
      <x:c r="G24" s="59"/>
      <x:c r="H24" s="59"/>
    </x:row>
    <x:row r="25" ht="28" customHeight="1">
      <x:c r="A25" s="20" t="str">
        <x:v>Grouping: pairwise precision, recall and F1 plus Adjusted Rand Index. Ordering: pairwise precedence, exact three-clip sequence and Kendall's tau. Hierarchy: blinded human ratings. Report each component separately.</x:v>
      </x:c>
      <x:c r="B25" s="59"/>
      <x:c r="C25" s="59"/>
      <x:c r="D25" s="59"/>
      <x:c r="E25" s="59"/>
      <x:c r="F25" s="59"/>
      <x:c r="G25" s="59"/>
      <x:c r="H25" s="59"/>
    </x:row>
    <x:row r="26" ht="28" customHeight="1">
      <x:c r="A26" s="59"/>
      <x:c r="B26" s="59"/>
      <x:c r="C26" s="59"/>
      <x:c r="D26" s="59"/>
      <x:c r="E26" s="59"/>
      <x:c r="F26" s="59"/>
      <x:c r="G26" s="59"/>
      <x:c r="H26" s="59"/>
    </x:row>
    <x:row r="27">
      <x:c r="A27" s="59"/>
      <x:c r="B27" s="59"/>
      <x:c r="C27" s="59"/>
      <x:c r="D27" s="59"/>
      <x:c r="E27" s="59"/>
      <x:c r="F27" s="59"/>
      <x:c r="G27" s="59"/>
      <x:c r="H27" s="59"/>
    </x:row>
    <x:row r="28">
      <x:c r="A28" s="67" t="str">
        <x:v>Fairness boundary</x:v>
      </x:c>
      <x:c r="B28" s="59"/>
      <x:c r="C28" s="59"/>
      <x:c r="D28" s="59"/>
      <x:c r="E28" s="59"/>
      <x:c r="F28" s="59"/>
      <x:c r="G28" s="59"/>
      <x:c r="H28" s="59"/>
    </x:row>
    <x:row r="29" ht="28" customHeight="1">
      <x:c r="A29" s="20" t="str">
        <x:v>The current COIN pilot cannot support a fairness claim because it lacks controlled demographic labels. Add matched demographic and recording-context groups only after the reconstruction protocol is stable.</x:v>
      </x:c>
      <x:c r="B29" s="59"/>
      <x:c r="C29" s="59"/>
      <x:c r="D29" s="59"/>
      <x:c r="E29" s="59"/>
      <x:c r="F29" s="59"/>
      <x:c r="G29" s="59"/>
      <x:c r="H29" s="59"/>
    </x:row>
    <x:row r="30" ht="28" customHeight="1">
      <x:c r="A30" s="59"/>
      <x:c r="B30" s="59"/>
      <x:c r="C30" s="59"/>
      <x:c r="D30" s="59"/>
      <x:c r="E30" s="59"/>
      <x:c r="F30" s="59"/>
      <x:c r="G30" s="59"/>
      <x:c r="H30" s="59"/>
    </x:row>
    <x:row r="31">
      <x:c r="A31" s="59"/>
      <x:c r="B31" s="59"/>
      <x:c r="C31" s="59"/>
      <x:c r="D31" s="59"/>
      <x:c r="E31" s="59"/>
      <x:c r="F31" s="59"/>
      <x:c r="G31" s="59"/>
      <x:c r="H31" s="59"/>
    </x:row>
    <x:row r="32">
      <x:c r="A32" s="59"/>
      <x:c r="B32" s="59"/>
      <x:c r="C32" s="59"/>
      <x:c r="D32" s="59"/>
      <x:c r="E32" s="59"/>
      <x:c r="F32" s="59"/>
      <x:c r="G32" s="59"/>
      <x:c r="H32" s="59"/>
    </x:row>
    <x:row r="33">
      <x:c r="A33" s="68" t="str">
        <x:v>Scope note</x:v>
      </x:c>
      <x:c r="B33" s="59"/>
      <x:c r="C33" s="59"/>
      <x:c r="D33" s="59"/>
      <x:c r="E33" s="59"/>
      <x:c r="F33" s="59"/>
      <x:c r="G33" s="59"/>
      <x:c r="H33" s="59"/>
    </x:row>
    <x:row r="34">
      <x:c r="A34" s="56" t="str">
        <x:v>This is a targeted review for experiment design, not a systematic review. The full paper details and primary links are in the Literature Matrix sheet.</x:v>
      </x:c>
      <x:c r="B34" s="59"/>
      <x:c r="C34" s="59"/>
      <x:c r="D34" s="59"/>
      <x:c r="E34" s="59"/>
      <x:c r="F34" s="59"/>
      <x:c r="G34" s="59"/>
      <x:c r="H34" s="59"/>
    </x:row>
    <x:row r="35">
      <x:c r="A35" s="59"/>
      <x:c r="B35" s="59"/>
      <x:c r="C35" s="59"/>
      <x:c r="D35" s="59"/>
      <x:c r="E35" s="59"/>
      <x:c r="F35" s="59"/>
      <x:c r="G35" s="59"/>
      <x:c r="H35" s="59"/>
    </x:row>
  </x:sheetData>
  <x:mergeCells>
    <x:mergeCell ref="A2:H2"/>
    <x:mergeCell ref="A3:H3"/>
    <x:mergeCell ref="A12:H12"/>
    <x:mergeCell ref="A13:H14"/>
    <x:mergeCell ref="A16:H16"/>
    <x:mergeCell ref="A17:H18"/>
    <x:mergeCell ref="A20:H20"/>
    <x:mergeCell ref="A21:H22"/>
    <x:mergeCell ref="A24:H24"/>
    <x:mergeCell ref="A25:H26"/>
    <x:mergeCell ref="A28:H28"/>
    <x:mergeCell ref="A29:H30"/>
    <x:mergeCell ref="A33:H33"/>
    <x:mergeCell ref="A34:H35"/>
  </x:mergeCells>
  <x:pageMargins left="0.7" right="0.7" top="0.75" bottom="0.75" header="0.3" footer="0.3"/>
</x:worksheet>
</file>